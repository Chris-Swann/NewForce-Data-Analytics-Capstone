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NewForce-Data-Analytics-Capstone\data\master\excel_workbooks\"/>
    </mc:Choice>
  </mc:AlternateContent>
  <xr:revisionPtr revIDLastSave="0" documentId="8_{3C22A2CF-B46A-4B27-8BA6-E4D651C45112}" xr6:coauthVersionLast="47" xr6:coauthVersionMax="47" xr10:uidLastSave="{00000000-0000-0000-0000-000000000000}"/>
  <bookViews>
    <workbookView xWindow="28680" yWindow="-120" windowWidth="20640" windowHeight="11040" xr2:uid="{5ADDCBE8-46C5-4257-A659-F0027173FB9A}"/>
  </bookViews>
  <sheets>
    <sheet name="course_metadata" sheetId="1" r:id="rId1"/>
  </sheets>
  <definedNames>
    <definedName name="_xlnm._FilterDatabase" localSheetId="0" hidden="1">course_metadata!$A$1:$A$18</definedName>
  </definedNames>
  <calcPr calcId="0"/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</calcChain>
</file>

<file path=xl/sharedStrings.xml><?xml version="1.0" encoding="utf-8"?>
<sst xmlns="http://schemas.openxmlformats.org/spreadsheetml/2006/main" count="56" uniqueCount="42">
  <si>
    <t>distance_mi</t>
  </si>
  <si>
    <t>elevation_gain_ft</t>
  </si>
  <si>
    <t>elevation_loss_ft</t>
  </si>
  <si>
    <t>max_elev_ft</t>
  </si>
  <si>
    <t>min_elev_ft</t>
  </si>
  <si>
    <t>elevation_range_ft</t>
  </si>
  <si>
    <t>avg_grade_pct</t>
  </si>
  <si>
    <t>altitude_exposure_mi</t>
  </si>
  <si>
    <t>major_climb_count</t>
  </si>
  <si>
    <t>longest_climb_ft</t>
  </si>
  <si>
    <t>latitude</t>
  </si>
  <si>
    <t>longitude</t>
  </si>
  <si>
    <t>UTMB</t>
  </si>
  <si>
    <t>CCC</t>
  </si>
  <si>
    <t>Doi Inthanon</t>
  </si>
  <si>
    <t>Western States</t>
  </si>
  <si>
    <t>Nice Cote d'Azur</t>
  </si>
  <si>
    <t>Templiers</t>
  </si>
  <si>
    <t>The Georgia Death Race</t>
  </si>
  <si>
    <t>Chianti</t>
  </si>
  <si>
    <t>Sean O Brien 100k</t>
  </si>
  <si>
    <t>The Canyons</t>
  </si>
  <si>
    <t>Gorge Waterfalls 100k</t>
  </si>
  <si>
    <t>Lake Sonoma 50</t>
  </si>
  <si>
    <t>Grindstone</t>
  </si>
  <si>
    <t>Tarawera</t>
  </si>
  <si>
    <t>Bandera</t>
  </si>
  <si>
    <t>Javelina Jundred</t>
  </si>
  <si>
    <t>Black Canyon</t>
  </si>
  <si>
    <t>Race_Name</t>
  </si>
  <si>
    <t>Series_ID</t>
  </si>
  <si>
    <t>Race_Class</t>
  </si>
  <si>
    <t>100M</t>
  </si>
  <si>
    <t>100K</t>
  </si>
  <si>
    <t>50M</t>
  </si>
  <si>
    <t>Difficulty_Index</t>
  </si>
  <si>
    <t>distance_km</t>
  </si>
  <si>
    <t>gain_m</t>
  </si>
  <si>
    <t>loss_m</t>
  </si>
  <si>
    <t>altitude_exposure_km</t>
  </si>
  <si>
    <t>effort_km</t>
  </si>
  <si>
    <t>Diff_Index_Relative_WS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</si>
</sst>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5CF05-9BBA-4E37-B5AE-309A04293E58}" name="Table1" displayName="Table1" ref="B1:V18" totalsRowShown="0">
  <autoFilter ref="B1:V18" xr:uid="{35A5CF05-9BBA-4E37-B5AE-309A04293E58}"/>
  <sortState xmlns:xlrd2="http://schemas.microsoft.com/office/spreadsheetml/2017/richdata2" ref="B2:P18">
    <sortCondition descending="1" ref="P1:P18"/>
  </sortState>
  <tableColumns count="21">
    <tableColumn id="1" xr3:uid="{9C6A02C1-7329-42C0-8B5B-03F9275117F9}" name="Race_Name"/>
    <tableColumn id="20" xr3:uid="{BEF714E7-C2A5-4BAA-9611-EE0CD8A3C75B}" name="Race_Class"/>
    <tableColumn id="2" xr3:uid="{4B738A80-731B-4A2C-A875-FFEBBDF3946E}" name="distance_mi"/>
    <tableColumn id="3" xr3:uid="{0FC0C5EF-0B4A-4436-B060-0C91DF9A7792}" name="elevation_gain_ft"/>
    <tableColumn id="4" xr3:uid="{E2A92449-328B-4675-BACA-F9777D0C0253}" name="elevation_loss_ft"/>
    <tableColumn id="5" xr3:uid="{66AFD63E-92A8-412A-BDAE-F1D6544100B6}" name="max_elev_ft"/>
    <tableColumn id="6" xr3:uid="{9B688433-300E-458B-9022-CC26A706F3BF}" name="min_elev_ft"/>
    <tableColumn id="7" xr3:uid="{3D1EBE2A-9ECF-4B92-B16F-4194B6E2C0EC}" name="elevation_range_ft"/>
    <tableColumn id="8" xr3:uid="{7767CF70-562A-4737-BD24-ACBD417D8193}" name="avg_grade_pct"/>
    <tableColumn id="9" xr3:uid="{CDF1C21D-E16C-4696-A238-39052703DF2A}" name="altitude_exposure_mi"/>
    <tableColumn id="10" xr3:uid="{7E673983-C858-461A-B3BA-5375FA1C2202}" name="major_climb_count"/>
    <tableColumn id="12" xr3:uid="{9DF5A341-1BC8-4496-8DA9-A3C611A2BEC6}" name="longest_climb_ft"/>
    <tableColumn id="17" xr3:uid="{6F99F34C-6768-4757-8E80-7FB47A71D77B}" name="latitude"/>
    <tableColumn id="18" xr3:uid="{BBA9DB13-1C03-4578-A753-CF837E170F3B}" name="longitude"/>
    <tableColumn id="19" xr3:uid="{1B152463-51B9-49F5-9776-4159AD01949C}" name="distance_km"/>
    <tableColumn id="21" xr3:uid="{0CE4E73A-2769-4623-AFCB-B39DCEDE6567}" name="gain_m"/>
    <tableColumn id="22" xr3:uid="{737CB31E-FC7C-4010-B4FB-1D84C94AEAAE}" name="loss_m"/>
    <tableColumn id="23" xr3:uid="{DA94ED8A-B611-4F4F-AB89-A8C418EC9E7D}" name="altitude_exposure_km"/>
    <tableColumn id="24" xr3:uid="{6FDBCAC2-87B5-4BC4-9360-960E7F967DE5}" name="effort_km"/>
    <tableColumn id="25" xr3:uid="{D8231217-A80B-4D50-B7CF-0CBC8637B01B}" name="Difficulty_Index"/>
    <tableColumn id="26" xr3:uid="{72FFB0F8-ACF0-4F12-99E8-9F4BE664CA59}" name="Diff_Index_Relative_WS" dataDxfId="0">
      <calculatedColumnFormula>(Table1[[#This Row],[Difficulty_Index]]/$U$4)*100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D767-2602-4B75-80B5-09D05CC99374}">
  <dimension ref="A1:V18"/>
  <sheetViews>
    <sheetView tabSelected="1" workbookViewId="0">
      <selection activeCell="D6" sqref="D6"/>
    </sheetView>
  </sheetViews>
  <sheetFormatPr defaultRowHeight="14.4" x14ac:dyDescent="0.3"/>
  <cols>
    <col min="2" max="2" width="21.5546875" bestFit="1" customWidth="1"/>
    <col min="3" max="3" width="21.5546875" customWidth="1"/>
    <col min="4" max="4" width="13.44140625" customWidth="1"/>
    <col min="5" max="6" width="17.77734375" customWidth="1"/>
    <col min="7" max="7" width="13.33203125" customWidth="1"/>
    <col min="8" max="8" width="13.109375" customWidth="1"/>
    <col min="9" max="9" width="19" customWidth="1"/>
    <col min="10" max="10" width="15.109375" customWidth="1"/>
    <col min="11" max="11" width="21.77734375" customWidth="1"/>
    <col min="12" max="12" width="19.44140625" customWidth="1"/>
    <col min="13" max="13" width="17.33203125" customWidth="1"/>
    <col min="14" max="14" width="9.77734375" customWidth="1"/>
    <col min="15" max="15" width="11.21875" customWidth="1"/>
    <col min="16" max="16" width="16.5546875" customWidth="1"/>
  </cols>
  <sheetData>
    <row r="1" spans="1:22" x14ac:dyDescent="0.3">
      <c r="A1" s="1" t="s">
        <v>30</v>
      </c>
      <c r="B1" t="s">
        <v>29</v>
      </c>
      <c r="C1" t="s">
        <v>31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35</v>
      </c>
      <c r="V1" t="s">
        <v>41</v>
      </c>
    </row>
    <row r="2" spans="1:22" x14ac:dyDescent="0.3">
      <c r="A2" s="2">
        <v>142</v>
      </c>
      <c r="B2" t="s">
        <v>12</v>
      </c>
      <c r="C2" t="s">
        <v>32</v>
      </c>
      <c r="D2">
        <v>108.69</v>
      </c>
      <c r="E2">
        <v>32155</v>
      </c>
      <c r="F2">
        <v>32173</v>
      </c>
      <c r="G2">
        <v>8325</v>
      </c>
      <c r="H2">
        <v>2658</v>
      </c>
      <c r="I2">
        <v>5667</v>
      </c>
      <c r="J2">
        <v>5.6</v>
      </c>
      <c r="K2">
        <v>37.380000000000003</v>
      </c>
      <c r="L2">
        <v>52</v>
      </c>
      <c r="M2">
        <v>4339</v>
      </c>
      <c r="N2">
        <v>45.923538999999998</v>
      </c>
      <c r="O2">
        <v>6.8690389999999999</v>
      </c>
      <c r="P2">
        <v>174.92</v>
      </c>
      <c r="Q2">
        <v>9801</v>
      </c>
      <c r="R2">
        <v>9806</v>
      </c>
      <c r="S2">
        <v>60.16</v>
      </c>
      <c r="T2">
        <v>431.1</v>
      </c>
      <c r="U2">
        <v>100</v>
      </c>
      <c r="V2">
        <f>(Table1[[#This Row],[Difficulty_Index]]/$U$4)*100</f>
        <v>132.45033112582783</v>
      </c>
    </row>
    <row r="3" spans="1:22" x14ac:dyDescent="0.3">
      <c r="A3" s="3">
        <v>25273</v>
      </c>
      <c r="B3" t="s">
        <v>14</v>
      </c>
      <c r="C3" t="s">
        <v>32</v>
      </c>
      <c r="D3">
        <v>106.88</v>
      </c>
      <c r="E3">
        <v>28349</v>
      </c>
      <c r="F3">
        <v>28285</v>
      </c>
      <c r="G3">
        <v>6769</v>
      </c>
      <c r="H3">
        <v>973</v>
      </c>
      <c r="I3">
        <v>5796</v>
      </c>
      <c r="J3">
        <v>5.0199999999999996</v>
      </c>
      <c r="K3">
        <v>2.4</v>
      </c>
      <c r="L3">
        <v>51</v>
      </c>
      <c r="M3">
        <v>4092</v>
      </c>
      <c r="N3">
        <v>18.487380000000002</v>
      </c>
      <c r="O3">
        <v>98.666659999999993</v>
      </c>
      <c r="P3">
        <v>172.01</v>
      </c>
      <c r="Q3">
        <v>8641</v>
      </c>
      <c r="R3">
        <v>8621</v>
      </c>
      <c r="S3">
        <v>3.86</v>
      </c>
      <c r="T3">
        <v>348.5</v>
      </c>
      <c r="U3">
        <v>80.8</v>
      </c>
      <c r="V3">
        <f>(Table1[[#This Row],[Difficulty_Index]]/$U$4)*100</f>
        <v>107.01986754966887</v>
      </c>
    </row>
    <row r="4" spans="1:22" x14ac:dyDescent="0.3">
      <c r="A4" s="2">
        <v>17002</v>
      </c>
      <c r="B4" t="s">
        <v>15</v>
      </c>
      <c r="C4" t="s">
        <v>32</v>
      </c>
      <c r="D4">
        <v>100.81</v>
      </c>
      <c r="E4">
        <v>16075</v>
      </c>
      <c r="F4">
        <v>20993</v>
      </c>
      <c r="G4">
        <v>8696</v>
      </c>
      <c r="H4">
        <v>533</v>
      </c>
      <c r="I4">
        <v>8163</v>
      </c>
      <c r="J4">
        <v>3.02</v>
      </c>
      <c r="K4">
        <v>31.18</v>
      </c>
      <c r="L4">
        <v>30</v>
      </c>
      <c r="M4">
        <v>2449</v>
      </c>
      <c r="N4">
        <v>39.195616999999999</v>
      </c>
      <c r="O4">
        <v>-120.236341</v>
      </c>
      <c r="P4">
        <v>162.24</v>
      </c>
      <c r="Q4">
        <v>4900</v>
      </c>
      <c r="R4">
        <v>6399</v>
      </c>
      <c r="S4">
        <v>50.18</v>
      </c>
      <c r="T4">
        <v>325.39999999999998</v>
      </c>
      <c r="U4">
        <v>75.5</v>
      </c>
      <c r="V4">
        <f>(Table1[[#This Row],[Difficulty_Index]]/$U$4)*100</f>
        <v>100</v>
      </c>
    </row>
    <row r="5" spans="1:22" x14ac:dyDescent="0.3">
      <c r="A5" s="3">
        <v>141</v>
      </c>
      <c r="B5" t="s">
        <v>13</v>
      </c>
      <c r="C5" t="s">
        <v>33</v>
      </c>
      <c r="D5">
        <v>62.53</v>
      </c>
      <c r="E5">
        <v>19020</v>
      </c>
      <c r="F5">
        <v>19617</v>
      </c>
      <c r="G5">
        <v>8406</v>
      </c>
      <c r="H5">
        <v>3408</v>
      </c>
      <c r="I5">
        <v>4999</v>
      </c>
      <c r="J5">
        <v>5.76</v>
      </c>
      <c r="K5">
        <v>23.83</v>
      </c>
      <c r="L5">
        <v>14</v>
      </c>
      <c r="M5">
        <v>1469</v>
      </c>
      <c r="N5">
        <v>45.792841000000003</v>
      </c>
      <c r="O5">
        <v>6.9715749999999996</v>
      </c>
      <c r="P5">
        <v>100.63</v>
      </c>
      <c r="Q5">
        <v>5797</v>
      </c>
      <c r="R5">
        <v>5979</v>
      </c>
      <c r="S5">
        <v>38.35</v>
      </c>
      <c r="T5">
        <v>256.7</v>
      </c>
      <c r="U5">
        <v>59.5</v>
      </c>
      <c r="V5">
        <f>(Table1[[#This Row],[Difficulty_Index]]/$U$4)*100</f>
        <v>78.807947019867555</v>
      </c>
    </row>
    <row r="6" spans="1:22" x14ac:dyDescent="0.3">
      <c r="A6" s="2">
        <v>32444</v>
      </c>
      <c r="B6" t="s">
        <v>16</v>
      </c>
      <c r="C6" t="s">
        <v>33</v>
      </c>
      <c r="D6">
        <v>68.069999999999993</v>
      </c>
      <c r="E6">
        <v>15655</v>
      </c>
      <c r="F6">
        <v>20025</v>
      </c>
      <c r="G6">
        <v>6071</v>
      </c>
      <c r="H6">
        <v>12</v>
      </c>
      <c r="I6">
        <v>6059</v>
      </c>
      <c r="J6">
        <v>4.3600000000000003</v>
      </c>
      <c r="K6">
        <v>0.55000000000000004</v>
      </c>
      <c r="L6">
        <v>24</v>
      </c>
      <c r="M6">
        <v>2837</v>
      </c>
      <c r="N6">
        <v>44.093119000000002</v>
      </c>
      <c r="O6">
        <v>7.0513490000000001</v>
      </c>
      <c r="P6">
        <v>109.55</v>
      </c>
      <c r="Q6">
        <v>4772</v>
      </c>
      <c r="R6">
        <v>6104</v>
      </c>
      <c r="S6">
        <v>0.89</v>
      </c>
      <c r="T6">
        <v>219.2</v>
      </c>
      <c r="U6">
        <v>50.8</v>
      </c>
      <c r="V6">
        <f>(Table1[[#This Row],[Difficulty_Index]]/$U$4)*100</f>
        <v>67.284768211920536</v>
      </c>
    </row>
    <row r="7" spans="1:22" x14ac:dyDescent="0.3">
      <c r="A7" s="3">
        <v>45236</v>
      </c>
      <c r="B7" t="s">
        <v>18</v>
      </c>
      <c r="C7" t="s">
        <v>33</v>
      </c>
      <c r="D7">
        <v>74.38</v>
      </c>
      <c r="E7">
        <v>15866</v>
      </c>
      <c r="F7">
        <v>16283</v>
      </c>
      <c r="G7">
        <v>4331</v>
      </c>
      <c r="H7">
        <v>1647</v>
      </c>
      <c r="I7">
        <v>2684</v>
      </c>
      <c r="J7">
        <v>4.04</v>
      </c>
      <c r="K7">
        <v>0</v>
      </c>
      <c r="L7">
        <v>15</v>
      </c>
      <c r="M7">
        <v>2392</v>
      </c>
      <c r="N7">
        <v>34.765918999999997</v>
      </c>
      <c r="O7">
        <v>-83.924176000000003</v>
      </c>
      <c r="P7">
        <v>119.7</v>
      </c>
      <c r="Q7">
        <v>4836</v>
      </c>
      <c r="R7">
        <v>4963</v>
      </c>
      <c r="S7">
        <v>0</v>
      </c>
      <c r="T7">
        <v>217.7</v>
      </c>
      <c r="U7">
        <v>50.5</v>
      </c>
      <c r="V7">
        <f>(Table1[[#This Row],[Difficulty_Index]]/$U$4)*100</f>
        <v>66.88741721854305</v>
      </c>
    </row>
    <row r="8" spans="1:22" x14ac:dyDescent="0.3">
      <c r="A8" s="2">
        <v>29669</v>
      </c>
      <c r="B8" t="s">
        <v>19</v>
      </c>
      <c r="C8" t="s">
        <v>33</v>
      </c>
      <c r="D8">
        <v>74.92</v>
      </c>
      <c r="E8">
        <v>15662</v>
      </c>
      <c r="F8">
        <v>15744</v>
      </c>
      <c r="G8">
        <v>2957</v>
      </c>
      <c r="H8">
        <v>949</v>
      </c>
      <c r="I8">
        <v>2008</v>
      </c>
      <c r="J8">
        <v>3.96</v>
      </c>
      <c r="K8">
        <v>0</v>
      </c>
      <c r="L8">
        <v>22</v>
      </c>
      <c r="M8">
        <v>768</v>
      </c>
      <c r="N8">
        <v>43.486612000000001</v>
      </c>
      <c r="O8">
        <v>11.374433</v>
      </c>
      <c r="P8">
        <v>120.57</v>
      </c>
      <c r="Q8">
        <v>4774</v>
      </c>
      <c r="R8">
        <v>4799</v>
      </c>
      <c r="S8">
        <v>0</v>
      </c>
      <c r="T8">
        <v>216.3</v>
      </c>
      <c r="U8">
        <v>50.2</v>
      </c>
      <c r="V8">
        <f>(Table1[[#This Row],[Difficulty_Index]]/$U$4)*100</f>
        <v>66.490066225165563</v>
      </c>
    </row>
    <row r="9" spans="1:22" x14ac:dyDescent="0.3">
      <c r="A9" s="3">
        <v>12057</v>
      </c>
      <c r="B9" t="s">
        <v>27</v>
      </c>
      <c r="C9" t="s">
        <v>32</v>
      </c>
      <c r="D9">
        <v>98.43</v>
      </c>
      <c r="E9">
        <v>5190</v>
      </c>
      <c r="F9">
        <v>5194</v>
      </c>
      <c r="G9">
        <v>2482</v>
      </c>
      <c r="H9">
        <v>1625</v>
      </c>
      <c r="I9">
        <v>857</v>
      </c>
      <c r="J9">
        <v>1</v>
      </c>
      <c r="K9">
        <v>0</v>
      </c>
      <c r="L9">
        <v>0</v>
      </c>
      <c r="M9">
        <v>355</v>
      </c>
      <c r="N9">
        <v>33.672820000000002</v>
      </c>
      <c r="O9">
        <v>-111.7017</v>
      </c>
      <c r="P9">
        <v>158.41</v>
      </c>
      <c r="Q9">
        <v>1582</v>
      </c>
      <c r="R9">
        <v>1583</v>
      </c>
      <c r="S9">
        <v>0</v>
      </c>
      <c r="T9">
        <v>190.1</v>
      </c>
      <c r="U9">
        <v>44.1</v>
      </c>
      <c r="V9">
        <f>(Table1[[#This Row],[Difficulty_Index]]/$U$4)*100</f>
        <v>58.410596026490069</v>
      </c>
    </row>
    <row r="10" spans="1:22" x14ac:dyDescent="0.3">
      <c r="A10" s="2">
        <v>623</v>
      </c>
      <c r="B10" t="s">
        <v>17</v>
      </c>
      <c r="C10" t="s">
        <v>33</v>
      </c>
      <c r="D10">
        <v>63.29</v>
      </c>
      <c r="E10">
        <v>14177</v>
      </c>
      <c r="F10">
        <v>14052</v>
      </c>
      <c r="G10">
        <v>2949</v>
      </c>
      <c r="H10">
        <v>1178</v>
      </c>
      <c r="I10">
        <v>1772</v>
      </c>
      <c r="J10">
        <v>4.24</v>
      </c>
      <c r="K10">
        <v>0</v>
      </c>
      <c r="L10">
        <v>25</v>
      </c>
      <c r="M10">
        <v>1562</v>
      </c>
      <c r="N10">
        <v>44.113770000000002</v>
      </c>
      <c r="O10">
        <v>3.08704</v>
      </c>
      <c r="P10">
        <v>101.86</v>
      </c>
      <c r="Q10">
        <v>4321</v>
      </c>
      <c r="R10">
        <v>4283</v>
      </c>
      <c r="S10">
        <v>0</v>
      </c>
      <c r="T10">
        <v>187.9</v>
      </c>
      <c r="U10">
        <v>43.6</v>
      </c>
      <c r="V10">
        <f>(Table1[[#This Row],[Difficulty_Index]]/$U$4)*100</f>
        <v>57.748344370860927</v>
      </c>
    </row>
    <row r="11" spans="1:22" x14ac:dyDescent="0.3">
      <c r="A11" s="3">
        <v>29758</v>
      </c>
      <c r="B11" t="s">
        <v>20</v>
      </c>
      <c r="C11" t="s">
        <v>33</v>
      </c>
      <c r="D11">
        <v>62.87</v>
      </c>
      <c r="E11">
        <v>13164</v>
      </c>
      <c r="F11">
        <v>13146</v>
      </c>
      <c r="G11">
        <v>2395</v>
      </c>
      <c r="H11">
        <v>66</v>
      </c>
      <c r="I11">
        <v>2329</v>
      </c>
      <c r="J11">
        <v>3.97</v>
      </c>
      <c r="K11">
        <v>0</v>
      </c>
      <c r="L11">
        <v>25</v>
      </c>
      <c r="M11">
        <v>1711</v>
      </c>
      <c r="N11">
        <v>34.096440000000001</v>
      </c>
      <c r="O11">
        <v>-118.71648</v>
      </c>
      <c r="P11">
        <v>101.18</v>
      </c>
      <c r="Q11">
        <v>4012</v>
      </c>
      <c r="R11">
        <v>4007</v>
      </c>
      <c r="S11">
        <v>0</v>
      </c>
      <c r="T11">
        <v>181.4</v>
      </c>
      <c r="U11">
        <v>42.1</v>
      </c>
      <c r="V11">
        <f>(Table1[[#This Row],[Difficulty_Index]]/$U$4)*100</f>
        <v>55.76158940397351</v>
      </c>
    </row>
    <row r="12" spans="1:22" x14ac:dyDescent="0.3">
      <c r="A12" s="2">
        <v>3753</v>
      </c>
      <c r="B12" t="s">
        <v>21</v>
      </c>
      <c r="C12" t="s">
        <v>33</v>
      </c>
      <c r="D12">
        <v>61.7</v>
      </c>
      <c r="E12">
        <v>11166</v>
      </c>
      <c r="F12">
        <v>14923</v>
      </c>
      <c r="G12">
        <v>5017</v>
      </c>
      <c r="H12">
        <v>547</v>
      </c>
      <c r="I12">
        <v>4470</v>
      </c>
      <c r="J12">
        <v>3.43</v>
      </c>
      <c r="K12">
        <v>0</v>
      </c>
      <c r="L12">
        <v>20</v>
      </c>
      <c r="M12">
        <v>1805</v>
      </c>
      <c r="N12">
        <v>39.151387</v>
      </c>
      <c r="O12">
        <v>-120.676731</v>
      </c>
      <c r="P12">
        <v>99.3</v>
      </c>
      <c r="Q12">
        <v>3403</v>
      </c>
      <c r="R12">
        <v>4549</v>
      </c>
      <c r="S12">
        <v>0</v>
      </c>
      <c r="T12">
        <v>178.8</v>
      </c>
      <c r="U12">
        <v>41.5</v>
      </c>
      <c r="V12">
        <f>(Table1[[#This Row],[Difficulty_Index]]/$U$4)*100</f>
        <v>54.966887417218544</v>
      </c>
    </row>
    <row r="13" spans="1:22" x14ac:dyDescent="0.3">
      <c r="A13" s="3">
        <v>74589</v>
      </c>
      <c r="B13" t="s">
        <v>22</v>
      </c>
      <c r="C13" t="s">
        <v>33</v>
      </c>
      <c r="D13">
        <v>64.569999999999993</v>
      </c>
      <c r="E13">
        <v>11268</v>
      </c>
      <c r="F13">
        <v>11251</v>
      </c>
      <c r="G13">
        <v>1519</v>
      </c>
      <c r="H13">
        <v>30</v>
      </c>
      <c r="I13">
        <v>1490</v>
      </c>
      <c r="J13">
        <v>3.31</v>
      </c>
      <c r="K13">
        <v>0</v>
      </c>
      <c r="L13">
        <v>19</v>
      </c>
      <c r="M13">
        <v>1401</v>
      </c>
      <c r="N13">
        <v>45.576701999999997</v>
      </c>
      <c r="O13">
        <v>-122.127899</v>
      </c>
      <c r="P13">
        <v>103.92</v>
      </c>
      <c r="Q13">
        <v>3434</v>
      </c>
      <c r="R13">
        <v>3429</v>
      </c>
      <c r="S13">
        <v>0</v>
      </c>
      <c r="T13">
        <v>172.6</v>
      </c>
      <c r="U13">
        <v>40</v>
      </c>
      <c r="V13">
        <f>(Table1[[#This Row],[Difficulty_Index]]/$U$4)*100</f>
        <v>52.980132450331126</v>
      </c>
    </row>
    <row r="14" spans="1:22" x14ac:dyDescent="0.3">
      <c r="A14" s="2">
        <v>37038</v>
      </c>
      <c r="B14" t="s">
        <v>24</v>
      </c>
      <c r="C14" t="s">
        <v>33</v>
      </c>
      <c r="D14">
        <v>65.709999999999994</v>
      </c>
      <c r="E14">
        <v>9843</v>
      </c>
      <c r="F14">
        <v>9839</v>
      </c>
      <c r="G14">
        <v>4331</v>
      </c>
      <c r="H14">
        <v>1329</v>
      </c>
      <c r="I14">
        <v>3002</v>
      </c>
      <c r="J14">
        <v>2.84</v>
      </c>
      <c r="K14">
        <v>0</v>
      </c>
      <c r="L14">
        <v>14</v>
      </c>
      <c r="M14">
        <v>1096</v>
      </c>
      <c r="N14">
        <v>38.358370000000001</v>
      </c>
      <c r="O14">
        <v>-79.083629999999999</v>
      </c>
      <c r="P14">
        <v>105.75</v>
      </c>
      <c r="Q14">
        <v>3000</v>
      </c>
      <c r="R14">
        <v>2999</v>
      </c>
      <c r="S14">
        <v>0</v>
      </c>
      <c r="T14">
        <v>165.7</v>
      </c>
      <c r="U14">
        <v>38.4</v>
      </c>
      <c r="V14">
        <f>(Table1[[#This Row],[Difficulty_Index]]/$U$4)*100</f>
        <v>50.860927152317878</v>
      </c>
    </row>
    <row r="15" spans="1:22" x14ac:dyDescent="0.3">
      <c r="A15" s="3">
        <v>895</v>
      </c>
      <c r="B15" t="s">
        <v>25</v>
      </c>
      <c r="C15" t="s">
        <v>33</v>
      </c>
      <c r="D15">
        <v>63.69</v>
      </c>
      <c r="E15">
        <v>7389</v>
      </c>
      <c r="F15">
        <v>6630</v>
      </c>
      <c r="G15">
        <v>2396</v>
      </c>
      <c r="H15">
        <v>130</v>
      </c>
      <c r="I15">
        <v>2267</v>
      </c>
      <c r="J15">
        <v>2.2000000000000002</v>
      </c>
      <c r="K15">
        <v>0</v>
      </c>
      <c r="L15">
        <v>11</v>
      </c>
      <c r="M15">
        <v>981</v>
      </c>
      <c r="N15">
        <v>-38.096145</v>
      </c>
      <c r="O15">
        <v>176.707157</v>
      </c>
      <c r="P15">
        <v>102.5</v>
      </c>
      <c r="Q15">
        <v>2252</v>
      </c>
      <c r="R15">
        <v>2021</v>
      </c>
      <c r="S15">
        <v>0</v>
      </c>
      <c r="T15">
        <v>145.19999999999999</v>
      </c>
      <c r="U15">
        <v>33.700000000000003</v>
      </c>
      <c r="V15">
        <f>(Table1[[#This Row],[Difficulty_Index]]/$U$4)*100</f>
        <v>44.635761589403977</v>
      </c>
    </row>
    <row r="16" spans="1:22" x14ac:dyDescent="0.3">
      <c r="A16" s="2">
        <v>50001</v>
      </c>
      <c r="B16" t="s">
        <v>26</v>
      </c>
      <c r="C16" t="s">
        <v>33</v>
      </c>
      <c r="D16">
        <v>62.64</v>
      </c>
      <c r="E16">
        <v>6778</v>
      </c>
      <c r="F16">
        <v>6854</v>
      </c>
      <c r="G16">
        <v>1998</v>
      </c>
      <c r="H16">
        <v>1401</v>
      </c>
      <c r="I16">
        <v>597</v>
      </c>
      <c r="J16">
        <v>2.0499999999999998</v>
      </c>
      <c r="K16">
        <v>0</v>
      </c>
      <c r="L16">
        <v>6</v>
      </c>
      <c r="M16">
        <v>322</v>
      </c>
      <c r="N16">
        <v>29.648547000000001</v>
      </c>
      <c r="O16">
        <v>-99.200051000000002</v>
      </c>
      <c r="P16">
        <v>100.81</v>
      </c>
      <c r="Q16">
        <v>2066</v>
      </c>
      <c r="R16">
        <v>2089</v>
      </c>
      <c r="S16">
        <v>0</v>
      </c>
      <c r="T16">
        <v>142.4</v>
      </c>
      <c r="U16">
        <v>33</v>
      </c>
      <c r="V16">
        <f>(Table1[[#This Row],[Difficulty_Index]]/$U$4)*100</f>
        <v>43.70860927152318</v>
      </c>
    </row>
    <row r="17" spans="1:22" x14ac:dyDescent="0.3">
      <c r="A17" s="3">
        <v>10254</v>
      </c>
      <c r="B17" t="s">
        <v>28</v>
      </c>
      <c r="C17" t="s">
        <v>33</v>
      </c>
      <c r="D17">
        <v>62.93</v>
      </c>
      <c r="E17">
        <v>4501</v>
      </c>
      <c r="F17">
        <v>6634</v>
      </c>
      <c r="G17">
        <v>4190</v>
      </c>
      <c r="H17">
        <v>1741</v>
      </c>
      <c r="I17">
        <v>2450</v>
      </c>
      <c r="J17">
        <v>1.35</v>
      </c>
      <c r="K17">
        <v>0</v>
      </c>
      <c r="L17">
        <v>5</v>
      </c>
      <c r="M17">
        <v>645</v>
      </c>
      <c r="N17">
        <v>34.3476</v>
      </c>
      <c r="O17">
        <v>-112.15755</v>
      </c>
      <c r="P17">
        <v>101.28</v>
      </c>
      <c r="Q17">
        <v>1372</v>
      </c>
      <c r="R17">
        <v>2022</v>
      </c>
      <c r="S17">
        <v>0</v>
      </c>
      <c r="T17">
        <v>135.19999999999999</v>
      </c>
      <c r="U17">
        <v>31.4</v>
      </c>
      <c r="V17">
        <f>(Table1[[#This Row],[Difficulty_Index]]/$U$4)*100</f>
        <v>41.589403973509931</v>
      </c>
    </row>
    <row r="18" spans="1:22" x14ac:dyDescent="0.3">
      <c r="A18" s="2">
        <v>50487</v>
      </c>
      <c r="B18" t="s">
        <v>23</v>
      </c>
      <c r="C18" t="s">
        <v>34</v>
      </c>
      <c r="D18">
        <v>50.49</v>
      </c>
      <c r="E18">
        <v>8265</v>
      </c>
      <c r="F18">
        <v>8249</v>
      </c>
      <c r="G18">
        <v>1163</v>
      </c>
      <c r="H18">
        <v>232</v>
      </c>
      <c r="I18">
        <v>931</v>
      </c>
      <c r="J18">
        <v>3.1</v>
      </c>
      <c r="K18">
        <v>0</v>
      </c>
      <c r="L18">
        <v>16</v>
      </c>
      <c r="M18">
        <v>700</v>
      </c>
      <c r="N18">
        <v>38.717820000000003</v>
      </c>
      <c r="O18">
        <v>-122.998</v>
      </c>
      <c r="P18">
        <v>81.260000000000005</v>
      </c>
      <c r="Q18">
        <v>2519</v>
      </c>
      <c r="R18">
        <v>2514</v>
      </c>
      <c r="S18">
        <v>0</v>
      </c>
      <c r="T18">
        <v>131.6</v>
      </c>
      <c r="U18">
        <v>30.5</v>
      </c>
      <c r="V18">
        <f>(Table1[[#This Row],[Difficulty_Index]]/$U$4)*100</f>
        <v>40.397350993377486</v>
      </c>
    </row>
  </sheetData>
  <autoFilter ref="A1:A18" xr:uid="{C077D767-2602-4B75-80B5-09D05CC99374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Christopher  Swann</cp:lastModifiedBy>
  <dcterms:created xsi:type="dcterms:W3CDTF">2025-11-30T19:18:51Z</dcterms:created>
  <dcterms:modified xsi:type="dcterms:W3CDTF">2025-11-30T19:27:39Z</dcterms:modified>
</cp:coreProperties>
</file>